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lin1\Desktop\Case Complexity Index (CCI)_V3\inputs_raw_cases\"/>
    </mc:Choice>
  </mc:AlternateContent>
  <xr:revisionPtr revIDLastSave="0" documentId="13_ncr:1_{A42766F4-7E26-4775-B0A3-47A1B35732F0}" xr6:coauthVersionLast="47" xr6:coauthVersionMax="47" xr10:uidLastSave="{00000000-0000-0000-0000-000000000000}"/>
  <bookViews>
    <workbookView xWindow="-110" yWindow="-110" windowWidth="19420" windowHeight="11500" xr2:uid="{8C551111-A817-4BCB-B4CF-B28DFACCC6A1}"/>
  </bookViews>
  <sheets>
    <sheet name="工作表1" sheetId="1" r:id="rId1"/>
    <sheet name="general index" sheetId="2" r:id="rId2"/>
    <sheet name="ipo index" sheetId="3" r:id="rId3"/>
    <sheet name="fsa index" sheetId="4" r:id="rId4"/>
    <sheet name="Caats index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2" i="1"/>
  <c r="F3" i="1"/>
  <c r="F4" i="1"/>
  <c r="F5" i="1"/>
  <c r="F6" i="1"/>
  <c r="F7" i="1"/>
  <c r="F9" i="1"/>
  <c r="F12" i="1"/>
  <c r="F13" i="1"/>
  <c r="F14" i="1"/>
  <c r="F15" i="1"/>
  <c r="F16" i="1"/>
  <c r="F17" i="1"/>
  <c r="F18" i="1"/>
  <c r="F19" i="1"/>
  <c r="F20" i="1"/>
  <c r="F21" i="1"/>
  <c r="F22" i="1"/>
  <c r="F23" i="1"/>
</calcChain>
</file>

<file path=xl/sharedStrings.xml><?xml version="1.0" encoding="utf-8"?>
<sst xmlns="http://schemas.openxmlformats.org/spreadsheetml/2006/main" count="97" uniqueCount="39">
  <si>
    <t>IPO</t>
    <phoneticPr fontId="1" type="noConversion"/>
  </si>
  <si>
    <t>FSA</t>
    <phoneticPr fontId="1" type="noConversion"/>
  </si>
  <si>
    <t>案件名稱</t>
    <phoneticPr fontId="1" type="noConversion"/>
  </si>
  <si>
    <t>是</t>
    <phoneticPr fontId="1" type="noConversion"/>
  </si>
  <si>
    <r>
      <rPr>
        <sz val="12"/>
        <color theme="1"/>
        <rFont val="標楷體"/>
        <family val="4"/>
        <charset val="136"/>
      </rPr>
      <t>案件類型</t>
    </r>
    <phoneticPr fontId="1" type="noConversion"/>
  </si>
  <si>
    <r>
      <rPr>
        <sz val="12"/>
        <color theme="1"/>
        <rFont val="標楷體"/>
        <family val="4"/>
        <charset val="136"/>
      </rPr>
      <t>個體數</t>
    </r>
    <phoneticPr fontId="1" type="noConversion"/>
  </si>
  <si>
    <r>
      <rPr>
        <sz val="12"/>
        <color theme="1"/>
        <rFont val="標楷體"/>
        <family val="4"/>
        <charset val="136"/>
      </rPr>
      <t>系統數</t>
    </r>
    <phoneticPr fontId="1" type="noConversion"/>
  </si>
  <si>
    <r>
      <rPr>
        <sz val="12"/>
        <color theme="1"/>
        <rFont val="標楷體"/>
        <family val="4"/>
        <charset val="136"/>
      </rPr>
      <t>個體是否共用系統</t>
    </r>
    <phoneticPr fontId="1" type="noConversion"/>
  </si>
  <si>
    <r>
      <t>(</t>
    </r>
    <r>
      <rPr>
        <sz val="12"/>
        <color theme="1"/>
        <rFont val="標楷體"/>
        <family val="4"/>
        <charset val="136"/>
      </rPr>
      <t>系統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已考量共用情況之實際系統數</t>
    </r>
    <phoneticPr fontId="1" type="noConversion"/>
  </si>
  <si>
    <r>
      <rPr>
        <sz val="12"/>
        <color theme="1"/>
        <rFont val="標楷體"/>
        <family val="4"/>
        <charset val="136"/>
      </rPr>
      <t>是</t>
    </r>
    <phoneticPr fontId="1" type="noConversion"/>
  </si>
  <si>
    <r>
      <t>FSA/</t>
    </r>
    <r>
      <rPr>
        <sz val="12"/>
        <color theme="1"/>
        <rFont val="標楷體"/>
        <family val="4"/>
        <charset val="136"/>
      </rPr>
      <t>專審</t>
    </r>
    <phoneticPr fontId="1" type="noConversion"/>
  </si>
  <si>
    <r>
      <t>(</t>
    </r>
    <r>
      <rPr>
        <sz val="12"/>
        <color theme="1"/>
        <rFont val="標楷體"/>
        <family val="4"/>
        <charset val="136"/>
      </rPr>
      <t>系統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首查項目</t>
    </r>
    <phoneticPr fontId="1" type="noConversion"/>
  </si>
  <si>
    <r>
      <t>GC</t>
    </r>
    <r>
      <rPr>
        <sz val="12"/>
        <color theme="1"/>
        <rFont val="標楷體"/>
        <family val="4"/>
        <charset val="136"/>
      </rPr>
      <t>健檢</t>
    </r>
    <phoneticPr fontId="1" type="noConversion"/>
  </si>
  <si>
    <r>
      <rPr>
        <sz val="12"/>
        <color theme="1"/>
        <rFont val="標楷體"/>
        <family val="4"/>
        <charset val="136"/>
      </rPr>
      <t>否</t>
    </r>
    <phoneticPr fontId="1" type="noConversion"/>
  </si>
  <si>
    <r>
      <rPr>
        <sz val="12"/>
        <color theme="1"/>
        <rFont val="標楷體"/>
        <family val="4"/>
        <charset val="136"/>
      </rPr>
      <t>是否首查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或包含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</si>
  <si>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系統是否客製化</t>
    </r>
    <phoneticPr fontId="1" type="noConversion"/>
  </si>
  <si>
    <r>
      <t>IPO</t>
    </r>
    <r>
      <rPr>
        <sz val="12"/>
        <color theme="1"/>
        <rFont val="標楷體"/>
        <family val="4"/>
        <charset val="136"/>
      </rPr>
      <t>送件類型</t>
    </r>
    <phoneticPr fontId="1" type="noConversion"/>
  </si>
  <si>
    <r>
      <rPr>
        <sz val="12"/>
        <color theme="1"/>
        <rFont val="標楷體"/>
        <family val="4"/>
        <charset val="136"/>
      </rPr>
      <t>是否被</t>
    </r>
    <r>
      <rPr>
        <sz val="12"/>
        <color theme="1"/>
        <rFont val="Times New Roman"/>
        <family val="1"/>
      </rPr>
      <t>Q</t>
    </r>
    <phoneticPr fontId="1" type="noConversion"/>
  </si>
  <si>
    <r>
      <rPr>
        <sz val="12"/>
        <color theme="1"/>
        <rFont val="Microsoft JhengHei"/>
        <family val="1"/>
        <charset val="136"/>
      </rPr>
      <t>是否為</t>
    </r>
    <r>
      <rPr>
        <sz val="12"/>
        <color theme="1"/>
        <rFont val="Times New Roman"/>
        <family val="1"/>
      </rPr>
      <t>PCAOB</t>
    </r>
    <phoneticPr fontId="1" type="noConversion"/>
  </si>
  <si>
    <r>
      <t>IPO</t>
    </r>
    <r>
      <rPr>
        <sz val="12"/>
        <color theme="1"/>
        <rFont val="Microsoft JhengHei"/>
        <family val="1"/>
        <charset val="136"/>
      </rPr>
      <t>是否為複雜資安</t>
    </r>
    <phoneticPr fontId="1" type="noConversion"/>
  </si>
  <si>
    <r>
      <rPr>
        <sz val="12"/>
        <color theme="1"/>
        <rFont val="標楷體"/>
        <family val="4"/>
        <charset val="136"/>
      </rPr>
      <t>是否為</t>
    </r>
    <r>
      <rPr>
        <sz val="12"/>
        <color theme="1"/>
        <rFont val="Times New Roman"/>
        <family val="1"/>
      </rPr>
      <t>PCAOB</t>
    </r>
    <phoneticPr fontId="1" type="noConversion"/>
  </si>
  <si>
    <r>
      <t>IPO</t>
    </r>
    <r>
      <rPr>
        <sz val="12"/>
        <color theme="1"/>
        <rFont val="標楷體"/>
        <family val="4"/>
        <charset val="136"/>
      </rPr>
      <t>是否為複雜資安</t>
    </r>
    <phoneticPr fontId="1" type="noConversion"/>
  </si>
  <si>
    <r>
      <t>IPO</t>
    </r>
    <r>
      <rPr>
        <sz val="12"/>
        <color theme="1"/>
        <rFont val="標楷體"/>
        <family val="4"/>
        <charset val="136"/>
      </rPr>
      <t>是否首查</t>
    </r>
    <phoneticPr fontId="1" type="noConversion"/>
  </si>
  <si>
    <r>
      <t>ITAC</t>
    </r>
    <r>
      <rPr>
        <sz val="12"/>
        <color theme="1"/>
        <rFont val="標楷體"/>
        <family val="4"/>
        <charset val="136"/>
      </rPr>
      <t>題數</t>
    </r>
    <phoneticPr fontId="1" type="noConversion"/>
  </si>
  <si>
    <r>
      <t>ITAC</t>
    </r>
    <r>
      <rPr>
        <sz val="12"/>
        <color theme="1"/>
        <rFont val="標楷體"/>
        <family val="4"/>
        <charset val="136"/>
      </rPr>
      <t>是否首查</t>
    </r>
    <phoneticPr fontId="1" type="noConversion"/>
  </si>
  <si>
    <r>
      <t>GC</t>
    </r>
    <r>
      <rPr>
        <sz val="12"/>
        <color theme="1"/>
        <rFont val="標楷體"/>
        <family val="4"/>
        <charset val="136"/>
      </rPr>
      <t>是否首查</t>
    </r>
    <phoneticPr fontId="1" type="noConversion"/>
  </si>
  <si>
    <r>
      <t>Caats</t>
    </r>
    <r>
      <rPr>
        <sz val="12"/>
        <color theme="1"/>
        <rFont val="標楷體"/>
        <family val="4"/>
        <charset val="136"/>
      </rPr>
      <t>是否首查</t>
    </r>
    <phoneticPr fontId="1" type="noConversion"/>
  </si>
  <si>
    <r>
      <rPr>
        <sz val="12"/>
        <color theme="1"/>
        <rFont val="標楷體"/>
        <family val="4"/>
        <charset val="136"/>
      </rPr>
      <t>上櫃</t>
    </r>
    <phoneticPr fontId="1" type="noConversion"/>
  </si>
  <si>
    <t>否</t>
    <phoneticPr fontId="1" type="noConversion"/>
  </si>
  <si>
    <r>
      <rPr>
        <sz val="12"/>
        <color theme="1"/>
        <rFont val="標楷體"/>
        <family val="4"/>
        <charset val="136"/>
      </rPr>
      <t>前底稿完整度</t>
    </r>
    <phoneticPr fontId="1" type="noConversion"/>
  </si>
  <si>
    <r>
      <rPr>
        <sz val="12"/>
        <color theme="1"/>
        <rFont val="Microsoft JhengHei"/>
        <family val="1"/>
      </rPr>
      <t>前期負責</t>
    </r>
    <r>
      <rPr>
        <sz val="12"/>
        <color theme="1"/>
        <rFont val="Times New Roman"/>
        <family val="1"/>
      </rPr>
      <t>PM</t>
    </r>
    <r>
      <rPr>
        <sz val="12"/>
        <color theme="1"/>
        <rFont val="Microsoft JhengHei"/>
        <family val="1"/>
        <charset val="136"/>
      </rPr>
      <t>是否更換</t>
    </r>
    <phoneticPr fontId="1" type="noConversion"/>
  </si>
  <si>
    <t>aa</t>
    <phoneticPr fontId="1" type="noConversion"/>
  </si>
  <si>
    <t>bb</t>
    <phoneticPr fontId="1" type="noConversion"/>
  </si>
  <si>
    <t>cc</t>
    <phoneticPr fontId="1" type="noConversion"/>
  </si>
  <si>
    <t>dd</t>
    <phoneticPr fontId="1" type="noConversion"/>
  </si>
  <si>
    <t>ee</t>
    <phoneticPr fontId="1" type="noConversion"/>
  </si>
  <si>
    <t>ff</t>
    <phoneticPr fontId="1" type="noConversion"/>
  </si>
  <si>
    <t>gg</t>
    <phoneticPr fontId="1" type="noConversion"/>
  </si>
  <si>
    <t>hh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</si>
</sst>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Microsoft JhengHei"/>
      <family val="1"/>
      <charset val="136"/>
    </font>
    <font>
      <sz val="12"/>
      <color theme="1"/>
      <name val="Times New Roman"/>
      <family val="1"/>
      <charset val="136"/>
    </font>
    <font>
      <sz val="12"/>
      <color theme="1"/>
      <name val="Microsoft JhengHei"/>
      <family val="1"/>
    </font>
    <font>
      <sz val="12"/>
      <color theme="1"/>
      <name val="Times New Roman"/>
      <family val="4"/>
    </font>
  </fonts>
  <fills count="6">
    <fill>
      <patternFill patternType="none"/>
    </fill>
    <fill>
      <patternFill patternType="gray125"/>
    </fill>
    <fill>
      <patternFill patternType="solid">
        <fgColor rgb="FFD9F9F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6" fillId="2" borderId="1" xfId="0" applyFont="1" applyFill="1" applyBorder="1">
      <alignment vertical="center"/>
    </xf>
    <xf numFmtId="0" fontId="7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D9F9F8"/>
      <color rgb="FFFFFF66"/>
      <color rgb="FFFF99CC"/>
      <color rgb="FFDBF7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C6FB-D41C-4D8B-A769-4F8419C5C83E}">
  <dimension ref="A1:R23"/>
  <sheetViews>
    <sheetView tabSelected="1" workbookViewId="0">
      <selection activeCell="A9" sqref="A9"/>
    </sheetView>
  </sheetViews>
  <sheetFormatPr defaultRowHeight="17"/>
  <cols>
    <col min="1" max="1" width="19.26953125" style="1" bestFit="1" customWidth="1"/>
    <col min="2" max="2" width="10.08984375" style="1" bestFit="1" customWidth="1"/>
    <col min="3" max="4" width="7.81640625" style="2" bestFit="1" customWidth="1"/>
    <col min="5" max="5" width="19.453125" style="2" bestFit="1" customWidth="1"/>
    <col min="6" max="6" width="35.90625" style="2" customWidth="1"/>
    <col min="7" max="7" width="17.08984375" style="2" bestFit="1" customWidth="1"/>
    <col min="8" max="8" width="9.36328125" style="2" bestFit="1" customWidth="1"/>
    <col min="9" max="9" width="15.54296875" style="2" bestFit="1" customWidth="1"/>
    <col min="10" max="10" width="22.90625" style="2" bestFit="1" customWidth="1"/>
    <col min="11" max="11" width="14.7265625" style="11" bestFit="1" customWidth="1"/>
    <col min="12" max="12" width="13.81640625" style="6" bestFit="1" customWidth="1"/>
    <col min="13" max="13" width="13.81640625" style="6" customWidth="1"/>
    <col min="14" max="14" width="20.90625" style="6" bestFit="1" customWidth="1"/>
    <col min="15" max="15" width="10.7265625" style="7" bestFit="1" customWidth="1"/>
    <col min="16" max="16" width="15.453125" style="7" bestFit="1" customWidth="1"/>
    <col min="17" max="17" width="13.26953125" style="7" bestFit="1" customWidth="1"/>
    <col min="18" max="18" width="15.90625" style="8" bestFit="1" customWidth="1"/>
    <col min="19" max="16384" width="8.7265625" style="1"/>
  </cols>
  <sheetData>
    <row r="1" spans="1:18">
      <c r="A1" s="3" t="s">
        <v>2</v>
      </c>
      <c r="B1" s="1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15</v>
      </c>
      <c r="H1" s="2" t="s">
        <v>17</v>
      </c>
      <c r="I1" s="2" t="s">
        <v>20</v>
      </c>
      <c r="J1" s="2" t="s">
        <v>30</v>
      </c>
      <c r="K1" s="2" t="s">
        <v>29</v>
      </c>
      <c r="L1" s="6" t="s">
        <v>16</v>
      </c>
      <c r="M1" s="6" t="s">
        <v>22</v>
      </c>
      <c r="N1" s="6" t="s">
        <v>21</v>
      </c>
      <c r="O1" s="7" t="s">
        <v>23</v>
      </c>
      <c r="P1" s="7" t="s">
        <v>24</v>
      </c>
      <c r="Q1" s="7" t="s">
        <v>25</v>
      </c>
      <c r="R1" s="8" t="s">
        <v>26</v>
      </c>
    </row>
    <row r="2" spans="1:18">
      <c r="A2" s="1" t="s">
        <v>31</v>
      </c>
      <c r="B2" s="1" t="s">
        <v>0</v>
      </c>
      <c r="C2" s="2">
        <v>2</v>
      </c>
      <c r="D2" s="2">
        <v>1</v>
      </c>
      <c r="E2" s="2" t="s">
        <v>9</v>
      </c>
      <c r="F2" s="2">
        <f t="shared" ref="F2:F9" si="0">IF(E2="是",D2,"")</f>
        <v>1</v>
      </c>
      <c r="G2" s="2" t="s">
        <v>9</v>
      </c>
      <c r="H2" s="2" t="s">
        <v>13</v>
      </c>
      <c r="I2" s="2" t="s">
        <v>13</v>
      </c>
      <c r="L2" s="6" t="s">
        <v>27</v>
      </c>
      <c r="M2" s="6" t="s">
        <v>9</v>
      </c>
      <c r="N2" s="6" t="s">
        <v>9</v>
      </c>
    </row>
    <row r="3" spans="1:18">
      <c r="A3" s="13" t="s">
        <v>32</v>
      </c>
      <c r="B3" s="1" t="s">
        <v>12</v>
      </c>
      <c r="C3" s="2">
        <v>1</v>
      </c>
      <c r="D3" s="2">
        <v>3</v>
      </c>
      <c r="E3" s="2" t="s">
        <v>9</v>
      </c>
      <c r="F3" s="2">
        <f t="shared" si="0"/>
        <v>3</v>
      </c>
      <c r="G3" s="2" t="s">
        <v>9</v>
      </c>
      <c r="H3" s="2" t="s">
        <v>13</v>
      </c>
      <c r="I3" s="2" t="s">
        <v>13</v>
      </c>
      <c r="J3" s="2" t="s">
        <v>9</v>
      </c>
    </row>
    <row r="4" spans="1:18">
      <c r="A4" s="13" t="s">
        <v>33</v>
      </c>
      <c r="B4" s="1" t="s">
        <v>1</v>
      </c>
      <c r="C4" s="2">
        <v>3</v>
      </c>
      <c r="D4" s="2">
        <v>1</v>
      </c>
      <c r="E4" s="2" t="s">
        <v>9</v>
      </c>
      <c r="F4" s="2">
        <f t="shared" si="0"/>
        <v>1</v>
      </c>
      <c r="G4" s="2" t="s">
        <v>9</v>
      </c>
      <c r="H4" s="2" t="s">
        <v>13</v>
      </c>
      <c r="I4" s="2" t="s">
        <v>13</v>
      </c>
      <c r="J4" s="12" t="s">
        <v>28</v>
      </c>
    </row>
    <row r="5" spans="1:18">
      <c r="A5" s="13" t="s">
        <v>34</v>
      </c>
      <c r="B5" s="1" t="s">
        <v>10</v>
      </c>
      <c r="C5" s="2">
        <v>1</v>
      </c>
      <c r="D5" s="2">
        <v>3</v>
      </c>
      <c r="E5" s="4" t="s">
        <v>3</v>
      </c>
      <c r="F5" s="2">
        <f t="shared" si="0"/>
        <v>3</v>
      </c>
      <c r="G5" s="2" t="s">
        <v>9</v>
      </c>
      <c r="H5" s="2" t="s">
        <v>13</v>
      </c>
      <c r="I5" s="2" t="s">
        <v>13</v>
      </c>
      <c r="J5" s="2" t="s">
        <v>9</v>
      </c>
      <c r="O5" s="7">
        <v>6</v>
      </c>
      <c r="P5" s="9" t="s">
        <v>3</v>
      </c>
      <c r="Q5" s="9" t="s">
        <v>3</v>
      </c>
    </row>
    <row r="6" spans="1:18">
      <c r="A6" s="13" t="s">
        <v>35</v>
      </c>
      <c r="B6" s="1" t="s">
        <v>1</v>
      </c>
      <c r="C6" s="2">
        <v>3</v>
      </c>
      <c r="D6" s="2">
        <v>3</v>
      </c>
      <c r="E6" s="2" t="s">
        <v>9</v>
      </c>
      <c r="F6" s="2">
        <f t="shared" si="0"/>
        <v>3</v>
      </c>
      <c r="G6" s="2" t="s">
        <v>9</v>
      </c>
      <c r="H6" s="2" t="s">
        <v>13</v>
      </c>
      <c r="I6" s="2" t="s">
        <v>13</v>
      </c>
      <c r="J6" s="12" t="s">
        <v>28</v>
      </c>
    </row>
    <row r="7" spans="1:18">
      <c r="A7" s="13" t="s">
        <v>36</v>
      </c>
      <c r="B7" s="1" t="s">
        <v>1</v>
      </c>
      <c r="C7" s="2">
        <v>1</v>
      </c>
      <c r="D7" s="2">
        <v>1</v>
      </c>
      <c r="E7" s="2" t="s">
        <v>9</v>
      </c>
      <c r="F7" s="2">
        <f t="shared" si="0"/>
        <v>1</v>
      </c>
      <c r="G7" s="2" t="s">
        <v>9</v>
      </c>
      <c r="H7" s="2" t="s">
        <v>9</v>
      </c>
      <c r="I7" s="2" t="s">
        <v>13</v>
      </c>
      <c r="J7" s="12" t="s">
        <v>28</v>
      </c>
      <c r="O7" s="7">
        <v>2</v>
      </c>
      <c r="P7" s="9" t="s">
        <v>3</v>
      </c>
      <c r="Q7" s="10" t="s">
        <v>28</v>
      </c>
    </row>
    <row r="8" spans="1:18">
      <c r="A8" s="13" t="s">
        <v>37</v>
      </c>
      <c r="B8" s="1" t="s">
        <v>1</v>
      </c>
      <c r="C8" s="2">
        <v>2</v>
      </c>
      <c r="D8" s="2">
        <v>8</v>
      </c>
      <c r="E8" s="2" t="s">
        <v>9</v>
      </c>
      <c r="F8" s="2">
        <f t="shared" si="0"/>
        <v>8</v>
      </c>
      <c r="G8" s="2" t="s">
        <v>9</v>
      </c>
      <c r="H8" s="2" t="s">
        <v>13</v>
      </c>
      <c r="I8" s="2" t="s">
        <v>13</v>
      </c>
      <c r="J8" s="12" t="s">
        <v>28</v>
      </c>
    </row>
    <row r="9" spans="1:18">
      <c r="A9" s="13" t="s">
        <v>38</v>
      </c>
      <c r="B9" s="1" t="s">
        <v>1</v>
      </c>
      <c r="C9" s="2">
        <v>2</v>
      </c>
      <c r="D9" s="2">
        <v>3</v>
      </c>
      <c r="E9" s="2" t="s">
        <v>9</v>
      </c>
      <c r="F9" s="2">
        <f t="shared" si="0"/>
        <v>3</v>
      </c>
      <c r="G9" s="2" t="s">
        <v>9</v>
      </c>
      <c r="H9" s="2" t="s">
        <v>13</v>
      </c>
      <c r="I9" s="2" t="s">
        <v>13</v>
      </c>
      <c r="J9" s="2" t="s">
        <v>9</v>
      </c>
    </row>
    <row r="12" spans="1:18">
      <c r="F12" s="2" t="str">
        <f t="shared" ref="F12:F22" si="1">IF(E12="是",D12,"")</f>
        <v/>
      </c>
    </row>
    <row r="13" spans="1:18">
      <c r="F13" s="2" t="str">
        <f t="shared" si="1"/>
        <v/>
      </c>
    </row>
    <row r="14" spans="1:18">
      <c r="F14" s="2" t="str">
        <f t="shared" si="1"/>
        <v/>
      </c>
    </row>
    <row r="15" spans="1:18">
      <c r="F15" s="2" t="str">
        <f t="shared" si="1"/>
        <v/>
      </c>
    </row>
    <row r="16" spans="1:18">
      <c r="F16" s="2" t="str">
        <f t="shared" si="1"/>
        <v/>
      </c>
    </row>
    <row r="17" spans="6:6">
      <c r="F17" s="2" t="str">
        <f t="shared" si="1"/>
        <v/>
      </c>
    </row>
    <row r="18" spans="6:6">
      <c r="F18" s="2" t="str">
        <f t="shared" si="1"/>
        <v/>
      </c>
    </row>
    <row r="19" spans="6:6">
      <c r="F19" s="2" t="str">
        <f t="shared" si="1"/>
        <v/>
      </c>
    </row>
    <row r="20" spans="6:6">
      <c r="F20" s="2" t="str">
        <f t="shared" si="1"/>
        <v/>
      </c>
    </row>
    <row r="21" spans="6:6">
      <c r="F21" s="2" t="str">
        <f t="shared" si="1"/>
        <v/>
      </c>
    </row>
    <row r="22" spans="6:6">
      <c r="F22" s="2" t="str">
        <f t="shared" si="1"/>
        <v/>
      </c>
    </row>
    <row r="23" spans="6:6">
      <c r="F23" s="2" t="str">
        <f t="shared" ref="F23" si="2">IF(E23="是",D23,"")</f>
        <v/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6C16-9A92-4BA7-864C-B6C2FCE46AAA}">
  <sheetPr>
    <tabColor rgb="FFD9F9F8"/>
  </sheetPr>
  <dimension ref="A1:A10"/>
  <sheetViews>
    <sheetView workbookViewId="0">
      <selection activeCell="A10" sqref="A10"/>
    </sheetView>
  </sheetViews>
  <sheetFormatPr defaultRowHeight="17"/>
  <cols>
    <col min="1" max="1" width="37.453125" bestFit="1" customWidth="1"/>
  </cols>
  <sheetData>
    <row r="1" spans="1:1">
      <c r="A1" s="2" t="s">
        <v>5</v>
      </c>
    </row>
    <row r="2" spans="1:1">
      <c r="A2" s="2" t="s">
        <v>6</v>
      </c>
    </row>
    <row r="3" spans="1:1">
      <c r="A3" s="2" t="s">
        <v>7</v>
      </c>
    </row>
    <row r="4" spans="1:1">
      <c r="A4" s="2" t="s">
        <v>8</v>
      </c>
    </row>
    <row r="5" spans="1:1">
      <c r="A5" s="2" t="s">
        <v>15</v>
      </c>
    </row>
    <row r="6" spans="1:1">
      <c r="A6" s="2" t="s">
        <v>17</v>
      </c>
    </row>
    <row r="7" spans="1:1">
      <c r="A7" s="5" t="s">
        <v>18</v>
      </c>
    </row>
    <row r="8" spans="1:1">
      <c r="A8" s="2" t="s">
        <v>14</v>
      </c>
    </row>
    <row r="9" spans="1:1">
      <c r="A9" s="2" t="s">
        <v>11</v>
      </c>
    </row>
    <row r="10" spans="1:1">
      <c r="A10" s="2" t="s">
        <v>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A602-4AD3-4508-A5C7-2C6364626EE4}">
  <sheetPr>
    <tabColor rgb="FFFF99CC"/>
  </sheetPr>
  <dimension ref="A1:A3"/>
  <sheetViews>
    <sheetView workbookViewId="0">
      <selection activeCell="A3" sqref="A3"/>
    </sheetView>
  </sheetViews>
  <sheetFormatPr defaultRowHeight="17"/>
  <cols>
    <col min="1" max="1" width="20.90625" bestFit="1" customWidth="1"/>
  </cols>
  <sheetData>
    <row r="1" spans="1:1">
      <c r="A1" s="6" t="s">
        <v>16</v>
      </c>
    </row>
    <row r="2" spans="1:1">
      <c r="A2" s="6" t="s">
        <v>19</v>
      </c>
    </row>
    <row r="3" spans="1:1">
      <c r="A3" s="6" t="s">
        <v>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08DD-5048-4CBC-897D-3AFAEFC6BCFE}">
  <sheetPr>
    <tabColor rgb="FFFFFF00"/>
  </sheetPr>
  <dimension ref="A1:A3"/>
  <sheetViews>
    <sheetView workbookViewId="0">
      <selection activeCell="F17" sqref="F17"/>
    </sheetView>
  </sheetViews>
  <sheetFormatPr defaultRowHeight="17"/>
  <cols>
    <col min="1" max="1" width="15.453125" bestFit="1" customWidth="1"/>
  </cols>
  <sheetData>
    <row r="1" spans="1:1">
      <c r="A1" s="7" t="s">
        <v>23</v>
      </c>
    </row>
    <row r="2" spans="1:1">
      <c r="A2" s="7" t="s">
        <v>24</v>
      </c>
    </row>
    <row r="3" spans="1:1">
      <c r="A3" s="7" t="s">
        <v>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938C-4F58-4172-8F5E-0FE298BF120F}">
  <sheetPr>
    <tabColor theme="5" tint="0.39997558519241921"/>
  </sheetPr>
  <dimension ref="A1"/>
  <sheetViews>
    <sheetView workbookViewId="0">
      <selection activeCell="C7" sqref="C7"/>
    </sheetView>
  </sheetViews>
  <sheetFormatPr defaultRowHeight="17"/>
  <cols>
    <col min="1" max="1" width="15.26953125" bestFit="1" customWidth="1"/>
  </cols>
  <sheetData>
    <row r="1" spans="1:1">
      <c r="A1" s="8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general index</vt:lpstr>
      <vt:lpstr>ipo index</vt:lpstr>
      <vt:lpstr>fsa index</vt:lpstr>
      <vt:lpstr>Caats index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Ariel X.Y. (TW/100ITA)</dc:creator>
  <cp:lastModifiedBy>Lin, Ariel X.Y. (TW/100ITA)</cp:lastModifiedBy>
  <dcterms:created xsi:type="dcterms:W3CDTF">2026-01-06T07:10:52Z</dcterms:created>
  <dcterms:modified xsi:type="dcterms:W3CDTF">2026-04-29T10:30:41Z</dcterms:modified>
</cp:coreProperties>
</file>